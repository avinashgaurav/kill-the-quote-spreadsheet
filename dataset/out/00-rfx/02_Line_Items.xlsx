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Read this fir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9C2A2A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FDE9E9"/>
      </patternFill>
    </fill>
  </fills>
  <borders count="2">
    <border>
      <left/>
      <right/>
      <top/>
      <bottom/>
      <diagonal/>
    </border>
    <border>
      <left style="thin">
        <color rgb="00B0B0B5"/>
      </left>
      <right style="thin">
        <color rgb="00B0B0B5"/>
      </right>
      <top style="thin">
        <color rgb="00B0B0B5"/>
      </top>
      <bottom style="thin">
        <color rgb="00B0B0B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52" customWidth="1" min="4" max="4"/>
    <col width="40" customWidth="1" min="5" max="5"/>
    <col width="12" customWidth="1" min="6" max="6"/>
    <col width="8" customWidth="1" min="7" max="7"/>
    <col width="7" customWidth="1" min="8" max="8"/>
    <col width="8" customWidth="1" min="9" max="9"/>
    <col width="15" customWidth="1" min="10" max="10"/>
    <col width="15" customWidth="1" min="11" max="11"/>
    <col width="7" customWidth="1" min="12" max="12"/>
    <col width="13" customWidth="1" min="13" max="13"/>
    <col width="30" customWidth="1" min="14" max="14"/>
    <col width="30" customWidth="1" min="15" max="15"/>
  </cols>
  <sheetData>
    <row r="1">
      <c r="A1" s="1" t="inlineStr">
        <is>
          <t>RFX-2026-0142 - Line Items</t>
        </is>
      </c>
    </row>
    <row r="2">
      <c r="A2" t="inlineStr">
        <is>
          <t>Northbridge Retail India Pvt Ltd  |  GSTIN 29AACCN4471K1ZP</t>
        </is>
      </c>
    </row>
    <row r="3">
      <c r="A3" t="inlineStr">
        <is>
          <t>Issued 04 Sep 2026   |   Responses due 18 Sep 2026, 17:00 IST</t>
        </is>
      </c>
    </row>
    <row r="4">
      <c r="A4" t="inlineStr">
        <is>
          <t>Quote ex-GST in INR. State the GST rate and HSN against every line. FOR destination, all three sites.</t>
        </is>
      </c>
    </row>
    <row r="5">
      <c r="A5" s="2" t="inlineStr">
        <is>
          <t>DO NOT ALTER THE UNIT OF MEASURE. Lines shown in red are priced per kit, pack or box. Quote per that unit, not per piece.</t>
        </is>
      </c>
    </row>
    <row r="6">
      <c r="A6" s="2" t="inlineStr">
        <is>
          <t>Mark any line you cannot supply as NQ. Do not leave it blank: a blank line and a declined line are read differently.</t>
        </is>
      </c>
    </row>
    <row r="8">
      <c r="A8" s="3" t="inlineStr">
        <is>
          <t>Line</t>
        </is>
      </c>
      <c r="B8" s="3" t="inlineStr">
        <is>
          <t>SKU</t>
        </is>
      </c>
      <c r="C8" s="3" t="inlineStr">
        <is>
          <t>Group</t>
        </is>
      </c>
      <c r="D8" s="3" t="inlineStr">
        <is>
          <t>Description</t>
        </is>
      </c>
      <c r="E8" s="3" t="inlineStr">
        <is>
          <t>Key spec</t>
        </is>
      </c>
      <c r="F8" s="3" t="inlineStr">
        <is>
          <t>UoM</t>
        </is>
      </c>
      <c r="G8" s="3" t="inlineStr">
        <is>
          <t>Units per UoM</t>
        </is>
      </c>
      <c r="H8" s="3" t="inlineStr">
        <is>
          <t>Qty</t>
        </is>
      </c>
      <c r="I8" s="3" t="inlineStr">
        <is>
          <t>HSN</t>
        </is>
      </c>
      <c r="J8" s="3" t="inlineStr">
        <is>
          <t>Unit rate (INR, ex-GST)</t>
        </is>
      </c>
      <c r="K8" s="3" t="inlineStr">
        <is>
          <t>Line total (INR)</t>
        </is>
      </c>
      <c r="L8" s="3" t="inlineStr">
        <is>
          <t>GST %</t>
        </is>
      </c>
      <c r="M8" s="3" t="inlineStr">
        <is>
          <t>Lead time (weeks)</t>
        </is>
      </c>
      <c r="N8" s="3" t="inlineStr">
        <is>
          <t>Make / model offered</t>
        </is>
      </c>
      <c r="O8" s="3" t="inlineStr">
        <is>
          <t>Remarks</t>
        </is>
      </c>
    </row>
    <row r="9">
      <c r="A9" s="4" t="n">
        <v>1</v>
      </c>
      <c r="B9" s="4" t="inlineStr">
        <is>
          <t>LT-BUS-14</t>
        </is>
      </c>
      <c r="C9" s="4" t="inlineStr">
        <is>
          <t>Enduser Compute</t>
        </is>
      </c>
      <c r="D9" s="4" t="inlineStr">
        <is>
          <t>Laptop, business, 14in FHD, Core i5 13th gen, 16GB DDR5, 512GB NVMe SSD, Win 11 Pro, 3yr onsite NBD warranty</t>
        </is>
      </c>
      <c r="E9" s="4" t="inlineStr">
        <is>
          <t>cpu=Core i5-1345U or equivalent, ram_gb=16, storage=512GB NVMe, display=14in FHD IPS, os=Win 11 Pro, warranty=3yr onsite NBD</t>
        </is>
      </c>
      <c r="F9" s="4" t="inlineStr">
        <is>
          <t>nos</t>
        </is>
      </c>
      <c r="G9" s="4" t="n">
        <v>1</v>
      </c>
      <c r="H9" s="4" t="n">
        <v>120</v>
      </c>
      <c r="I9" s="4" t="inlineStr">
        <is>
          <t>8471</t>
        </is>
      </c>
      <c r="J9" s="4" t="n"/>
      <c r="K9" s="4">
        <f>IF(J9="","",H9*J9)</f>
        <v/>
      </c>
      <c r="L9" s="4" t="n"/>
      <c r="M9" s="4" t="n"/>
      <c r="N9" s="4" t="n"/>
      <c r="O9" s="4" t="n"/>
    </row>
    <row r="10">
      <c r="A10" s="4" t="n">
        <v>2</v>
      </c>
      <c r="B10" s="4" t="inlineStr">
        <is>
          <t>LT-DEV-14</t>
        </is>
      </c>
      <c r="C10" s="4" t="inlineStr">
        <is>
          <t>Enduser Compute</t>
        </is>
      </c>
      <c r="D10" s="4" t="inlineStr">
        <is>
          <t>Laptop, developer, 14in QHD, Core i7 13th gen, 32GB DDR5, 1TB NVMe SSD, Win 11 Pro, 3yr onsite NBD warranty</t>
        </is>
      </c>
      <c r="E10" s="4" t="inlineStr">
        <is>
          <t>cpu=Core i7-1365U or equivalent, ram_gb=32, storage=1TB NVMe, display=14in QHD, os=Win 11 Pro, warranty=3yr onsite NBD</t>
        </is>
      </c>
      <c r="F10" s="4" t="inlineStr">
        <is>
          <t>nos</t>
        </is>
      </c>
      <c r="G10" s="4" t="n">
        <v>1</v>
      </c>
      <c r="H10" s="4" t="n">
        <v>30</v>
      </c>
      <c r="I10" s="4" t="inlineStr">
        <is>
          <t>8471</t>
        </is>
      </c>
      <c r="J10" s="4" t="n"/>
      <c r="K10" s="4">
        <f>IF(J10="","",H10*J10)</f>
        <v/>
      </c>
      <c r="L10" s="4" t="n"/>
      <c r="M10" s="4" t="n"/>
      <c r="N10" s="4" t="n"/>
      <c r="O10" s="4" t="n"/>
    </row>
    <row r="11">
      <c r="A11" s="4" t="n">
        <v>3</v>
      </c>
      <c r="B11" s="4" t="inlineStr">
        <is>
          <t>LT-ULT-13</t>
        </is>
      </c>
      <c r="C11" s="4" t="inlineStr">
        <is>
          <t>Enduser Compute</t>
        </is>
      </c>
      <c r="D11" s="4" t="inlineStr">
        <is>
          <t>Laptop, ultraportable, 13.3in FHD, Core i5 13th gen, 16GB, 512GB NVMe SSD, sub-1.1kg, 3yr onsite NBD</t>
        </is>
      </c>
      <c r="E11" s="4" t="inlineStr">
        <is>
          <t>cpu=Core i5 13th gen, ram_gb=16, storage=512GB NVMe, weight=&lt;1.1 kg, warranty=3yr onsite NBD</t>
        </is>
      </c>
      <c r="F11" s="4" t="inlineStr">
        <is>
          <t>nos</t>
        </is>
      </c>
      <c r="G11" s="4" t="n">
        <v>1</v>
      </c>
      <c r="H11" s="4" t="n">
        <v>25</v>
      </c>
      <c r="I11" s="4" t="inlineStr">
        <is>
          <t>8471</t>
        </is>
      </c>
      <c r="J11" s="4" t="n"/>
      <c r="K11" s="4">
        <f>IF(J11="","",H11*J11)</f>
        <v/>
      </c>
      <c r="L11" s="4" t="n"/>
      <c r="M11" s="4" t="n"/>
      <c r="N11" s="4" t="n"/>
      <c r="O11" s="4" t="n"/>
    </row>
    <row r="12">
      <c r="A12" s="4" t="n">
        <v>4</v>
      </c>
      <c r="B12" s="4" t="inlineStr">
        <is>
          <t>DT-SFF</t>
        </is>
      </c>
      <c r="C12" s="4" t="inlineStr">
        <is>
          <t>Enduser Compute</t>
        </is>
      </c>
      <c r="D12" s="4" t="inlineStr">
        <is>
          <t>Desktop, small form factor, Core i5 13th gen, 8GB DDR5, 512GB NVMe SSD, Win 11 Pro, 3yr onsite NBD</t>
        </is>
      </c>
      <c r="E12" s="4" t="inlineStr">
        <is>
          <t>cpu=Core i5 13th gen, ram_gb=8, storage=512GB NVMe, os=Win 11 Pro, warranty=3yr onsite NBD</t>
        </is>
      </c>
      <c r="F12" s="4" t="inlineStr">
        <is>
          <t>nos</t>
        </is>
      </c>
      <c r="G12" s="4" t="n">
        <v>1</v>
      </c>
      <c r="H12" s="4" t="n">
        <v>40</v>
      </c>
      <c r="I12" s="4" t="inlineStr">
        <is>
          <t>8471</t>
        </is>
      </c>
      <c r="J12" s="4" t="n"/>
      <c r="K12" s="4">
        <f>IF(J12="","",H12*J12)</f>
        <v/>
      </c>
      <c r="L12" s="4" t="n"/>
      <c r="M12" s="4" t="n"/>
      <c r="N12" s="4" t="n"/>
      <c r="O12" s="4" t="n"/>
    </row>
    <row r="13">
      <c r="A13" s="4" t="n">
        <v>5</v>
      </c>
      <c r="B13" s="4" t="inlineStr">
        <is>
          <t>MON-24</t>
        </is>
      </c>
      <c r="C13" s="4" t="inlineStr">
        <is>
          <t>Enduser Compute</t>
        </is>
      </c>
      <c r="D13" s="4" t="inlineStr">
        <is>
          <t>Monitor, 23.8in FHD IPS, height-adjustable stand, DisplayPort + HDMI, 3yr warranty</t>
        </is>
      </c>
      <c r="E13" s="4" t="inlineStr">
        <is>
          <t>size=23.8in, res=1920x1080, panel=IPS, stand=height adjustable</t>
        </is>
      </c>
      <c r="F13" s="4" t="inlineStr">
        <is>
          <t>nos</t>
        </is>
      </c>
      <c r="G13" s="4" t="n">
        <v>1</v>
      </c>
      <c r="H13" s="4" t="n">
        <v>160</v>
      </c>
      <c r="I13" s="4" t="inlineStr">
        <is>
          <t>8528</t>
        </is>
      </c>
      <c r="J13" s="4" t="n"/>
      <c r="K13" s="4">
        <f>IF(J13="","",H13*J13)</f>
        <v/>
      </c>
      <c r="L13" s="4" t="n"/>
      <c r="M13" s="4" t="n"/>
      <c r="N13" s="4" t="n"/>
      <c r="O13" s="4" t="n"/>
    </row>
    <row r="14">
      <c r="A14" s="4" t="n">
        <v>6</v>
      </c>
      <c r="B14" s="4" t="inlineStr">
        <is>
          <t>MON-27</t>
        </is>
      </c>
      <c r="C14" s="4" t="inlineStr">
        <is>
          <t>Enduser Compute</t>
        </is>
      </c>
      <c r="D14" s="4" t="inlineStr">
        <is>
          <t>Monitor, 27in QHD IPS, USB-C 65W power delivery, RJ45 passthrough, 3yr warranty</t>
        </is>
      </c>
      <c r="E14" s="4" t="inlineStr">
        <is>
          <t>size=27in, res=2560x1440, panel=IPS, usb_c_pd_w=65</t>
        </is>
      </c>
      <c r="F14" s="4" t="inlineStr">
        <is>
          <t>nos</t>
        </is>
      </c>
      <c r="G14" s="4" t="n">
        <v>1</v>
      </c>
      <c r="H14" s="4" t="n">
        <v>45</v>
      </c>
      <c r="I14" s="4" t="inlineStr">
        <is>
          <t>8528</t>
        </is>
      </c>
      <c r="J14" s="4" t="n"/>
      <c r="K14" s="4">
        <f>IF(J14="","",H14*J14)</f>
        <v/>
      </c>
      <c r="L14" s="4" t="n"/>
      <c r="M14" s="4" t="n"/>
      <c r="N14" s="4" t="n"/>
      <c r="O14" s="4" t="n"/>
    </row>
    <row r="15">
      <c r="A15" s="4" t="n">
        <v>7</v>
      </c>
      <c r="B15" s="4" t="inlineStr">
        <is>
          <t>DOCK-USBC</t>
        </is>
      </c>
      <c r="C15" s="4" t="inlineStr">
        <is>
          <t>Enduser Compute</t>
        </is>
      </c>
      <c r="D15" s="4" t="inlineStr">
        <is>
          <t>Docking station, USB-C, dual 4K@60Hz, 100W power delivery, 2x RJ45, 3yr warranty</t>
        </is>
      </c>
      <c r="E15" s="4" t="inlineStr">
        <is>
          <t>displays=dual 4K@60, pd_w=100</t>
        </is>
      </c>
      <c r="F15" s="4" t="inlineStr">
        <is>
          <t>nos</t>
        </is>
      </c>
      <c r="G15" s="4" t="n">
        <v>1</v>
      </c>
      <c r="H15" s="4" t="n">
        <v>140</v>
      </c>
      <c r="I15" s="4" t="inlineStr">
        <is>
          <t>8473</t>
        </is>
      </c>
      <c r="J15" s="4" t="n"/>
      <c r="K15" s="4">
        <f>IF(J15="","",H15*J15)</f>
        <v/>
      </c>
      <c r="L15" s="4" t="n"/>
      <c r="M15" s="4" t="n"/>
      <c r="N15" s="4" t="n"/>
      <c r="O15" s="4" t="n"/>
    </row>
    <row r="16">
      <c r="A16" s="4" t="n">
        <v>8</v>
      </c>
      <c r="B16" s="4" t="inlineStr">
        <is>
          <t>BAG-15</t>
        </is>
      </c>
      <c r="C16" s="4" t="inlineStr">
        <is>
          <t>Enduser Compute</t>
        </is>
      </c>
      <c r="D16" s="4" t="inlineStr">
        <is>
          <t>Laptop backpack, fits 15.6in, water resistant, padded sleeve</t>
        </is>
      </c>
      <c r="E16" s="4" t="inlineStr">
        <is>
          <t>fits=15.6in</t>
        </is>
      </c>
      <c r="F16" s="4" t="inlineStr">
        <is>
          <t>nos</t>
        </is>
      </c>
      <c r="G16" s="4" t="n">
        <v>1</v>
      </c>
      <c r="H16" s="4" t="n">
        <v>170</v>
      </c>
      <c r="I16" s="4" t="inlineStr">
        <is>
          <t>4202</t>
        </is>
      </c>
      <c r="J16" s="4" t="n"/>
      <c r="K16" s="4">
        <f>IF(J16="","",H16*J16)</f>
        <v/>
      </c>
      <c r="L16" s="4" t="n"/>
      <c r="M16" s="4" t="n"/>
      <c r="N16" s="4" t="n"/>
      <c r="O16" s="4" t="n"/>
    </row>
    <row r="17">
      <c r="A17" s="4" t="n">
        <v>9</v>
      </c>
      <c r="B17" s="4" t="inlineStr">
        <is>
          <t>KBM-WL</t>
        </is>
      </c>
      <c r="C17" s="4" t="inlineStr">
        <is>
          <t>Enduser Compute</t>
        </is>
      </c>
      <c r="D17" s="4" t="inlineStr">
        <is>
          <t>Wireless keyboard and mouse combo, 2.4GHz unifying receiver, Indian layout</t>
        </is>
      </c>
      <c r="E17" s="4" t="inlineStr">
        <is>
          <t>layout=Indian</t>
        </is>
      </c>
      <c r="F17" s="4" t="inlineStr">
        <is>
          <t>nos</t>
        </is>
      </c>
      <c r="G17" s="4" t="n">
        <v>1</v>
      </c>
      <c r="H17" s="4" t="n">
        <v>200</v>
      </c>
      <c r="I17" s="4" t="inlineStr">
        <is>
          <t>8471</t>
        </is>
      </c>
      <c r="J17" s="4" t="n"/>
      <c r="K17" s="4">
        <f>IF(J17="","",H17*J17)</f>
        <v/>
      </c>
      <c r="L17" s="4" t="n"/>
      <c r="M17" s="4" t="n"/>
      <c r="N17" s="4" t="n"/>
      <c r="O17" s="4" t="n"/>
    </row>
    <row r="18">
      <c r="A18" s="4" t="n">
        <v>10</v>
      </c>
      <c r="B18" s="4" t="inlineStr">
        <is>
          <t>HDST-UC</t>
        </is>
      </c>
      <c r="C18" s="4" t="inlineStr">
        <is>
          <t>Enduser Compute</t>
        </is>
      </c>
      <c r="D18" s="4" t="inlineStr">
        <is>
          <t>USB headset, UC-certified (Teams), active noise cancelling, in-line controls</t>
        </is>
      </c>
      <c r="E18" s="4" t="inlineStr">
        <is>
          <t>cert=Microsoft Teams certified, anc=True</t>
        </is>
      </c>
      <c r="F18" s="4" t="inlineStr">
        <is>
          <t>nos</t>
        </is>
      </c>
      <c r="G18" s="4" t="n">
        <v>1</v>
      </c>
      <c r="H18" s="4" t="n">
        <v>170</v>
      </c>
      <c r="I18" s="4" t="inlineStr">
        <is>
          <t>8518</t>
        </is>
      </c>
      <c r="J18" s="4" t="n"/>
      <c r="K18" s="4">
        <f>IF(J18="","",H18*J18)</f>
        <v/>
      </c>
      <c r="L18" s="4" t="n"/>
      <c r="M18" s="4" t="n"/>
      <c r="N18" s="4" t="n"/>
      <c r="O18" s="4" t="n"/>
    </row>
    <row r="19">
      <c r="A19" s="4" t="n">
        <v>11</v>
      </c>
      <c r="B19" s="4" t="inlineStr">
        <is>
          <t>CAM-1080</t>
        </is>
      </c>
      <c r="C19" s="4" t="inlineStr">
        <is>
          <t>Enduser Compute</t>
        </is>
      </c>
      <c r="D19" s="4" t="inlineStr">
        <is>
          <t>Webcam, 1080p30, autofocus, dual mic, mechanical privacy shutter</t>
        </is>
      </c>
      <c r="E19" s="4" t="inlineStr">
        <is>
          <t>res=1080p30, privacy_shutter=True</t>
        </is>
      </c>
      <c r="F19" s="4" t="inlineStr">
        <is>
          <t>nos</t>
        </is>
      </c>
      <c r="G19" s="4" t="n">
        <v>1</v>
      </c>
      <c r="H19" s="4" t="n">
        <v>80</v>
      </c>
      <c r="I19" s="4" t="inlineStr">
        <is>
          <t>8525</t>
        </is>
      </c>
      <c r="J19" s="4" t="n"/>
      <c r="K19" s="4">
        <f>IF(J19="","",H19*J19)</f>
        <v/>
      </c>
      <c r="L19" s="4" t="n"/>
      <c r="M19" s="4" t="n"/>
      <c r="N19" s="4" t="n"/>
      <c r="O19" s="4" t="n"/>
    </row>
    <row r="20">
      <c r="A20" s="4" t="n">
        <v>12</v>
      </c>
      <c r="B20" s="4" t="inlineStr">
        <is>
          <t>SRV-2U</t>
        </is>
      </c>
      <c r="C20" s="4" t="inlineStr">
        <is>
          <t>Datacentre</t>
        </is>
      </c>
      <c r="D20" s="4" t="inlineStr">
        <is>
          <t>Rack server, 2U, 2x Xeon Silver 4410Y, 128GB DDR5 RDIMM, 8x 2.5in SFF bays, dual 1100W PSU, iDRAC/iLO equivalent, 3yr NBD onsite</t>
        </is>
      </c>
      <c r="E20" s="4" t="inlineStr">
        <is>
          <t>cpu=2x Xeon Silver 4410Y, ram_gb=128, bays=8, psu=dual 1100W, warranty=3yr NBD onsite</t>
        </is>
      </c>
      <c r="F20" s="4" t="inlineStr">
        <is>
          <t>nos</t>
        </is>
      </c>
      <c r="G20" s="4" t="n">
        <v>1</v>
      </c>
      <c r="H20" s="4" t="n">
        <v>6</v>
      </c>
      <c r="I20" s="4" t="inlineStr">
        <is>
          <t>8471</t>
        </is>
      </c>
      <c r="J20" s="4" t="n"/>
      <c r="K20" s="4">
        <f>IF(J20="","",H20*J20)</f>
        <v/>
      </c>
      <c r="L20" s="4" t="n"/>
      <c r="M20" s="4" t="n"/>
      <c r="N20" s="4" t="n"/>
      <c r="O20" s="4" t="n"/>
    </row>
    <row r="21">
      <c r="A21" s="4" t="n">
        <v>13</v>
      </c>
      <c r="B21" s="4" t="inlineStr">
        <is>
          <t>RAM-32K</t>
        </is>
      </c>
      <c r="C21" s="4" t="inlineStr">
        <is>
          <t>Datacentre</t>
        </is>
      </c>
      <c r="D21" s="4" t="inlineStr">
        <is>
          <t>Server memory upgrade, 32GB total as a matched kit of 2x 16GB DDR5-4800 RDIMM</t>
        </is>
      </c>
      <c r="E21" s="4" t="inlineStr">
        <is>
          <t>total_gb=32, form=kit of 2x 16GB RDIMM, speed=DDR5-4800</t>
        </is>
      </c>
      <c r="F21" s="5" t="inlineStr">
        <is>
          <t>kit</t>
        </is>
      </c>
      <c r="G21" s="5" t="n">
        <v>2</v>
      </c>
      <c r="H21" s="4" t="n">
        <v>24</v>
      </c>
      <c r="I21" s="4" t="inlineStr">
        <is>
          <t>8473</t>
        </is>
      </c>
      <c r="J21" s="4" t="n"/>
      <c r="K21" s="4">
        <f>IF(J21="","",H21*J21)</f>
        <v/>
      </c>
      <c r="L21" s="4" t="n"/>
      <c r="M21" s="4" t="n"/>
      <c r="N21" s="4" t="n"/>
      <c r="O21" s="4" t="n"/>
    </row>
    <row r="22">
      <c r="A22" s="4" t="n">
        <v>14</v>
      </c>
      <c r="B22" s="4" t="inlineStr">
        <is>
          <t>SSD-192</t>
        </is>
      </c>
      <c r="C22" s="4" t="inlineStr">
        <is>
          <t>Datacentre</t>
        </is>
      </c>
      <c r="D22" s="4" t="inlineStr">
        <is>
          <t>Enterprise SSD, 1.92TB, SAS 12Gbps, mixed-use endurance (&gt;=3 DWPD), 2.5in SFF, OEM-certified caddy</t>
        </is>
      </c>
      <c r="E22" s="4" t="inlineStr">
        <is>
          <t>capacity=1.92TB, iface=SAS 12G, endurance=&gt;=3 DWPD</t>
        </is>
      </c>
      <c r="F22" s="4" t="inlineStr">
        <is>
          <t>nos</t>
        </is>
      </c>
      <c r="G22" s="4" t="n">
        <v>1</v>
      </c>
      <c r="H22" s="4" t="n">
        <v>24</v>
      </c>
      <c r="I22" s="4" t="inlineStr">
        <is>
          <t>8471</t>
        </is>
      </c>
      <c r="J22" s="4" t="n"/>
      <c r="K22" s="4">
        <f>IF(J22="","",H22*J22)</f>
        <v/>
      </c>
      <c r="L22" s="4" t="n"/>
      <c r="M22" s="4" t="n"/>
      <c r="N22" s="4" t="n"/>
      <c r="O22" s="4" t="n"/>
    </row>
    <row r="23">
      <c r="A23" s="4" t="n">
        <v>15</v>
      </c>
      <c r="B23" s="4" t="inlineStr">
        <is>
          <t>NAS-60</t>
        </is>
      </c>
      <c r="C23" s="4" t="inlineStr">
        <is>
          <t>Datacentre</t>
        </is>
      </c>
      <c r="D23" s="4" t="inlineStr">
        <is>
          <t>Backup storage appliance, 60TB raw, 12-bay, dual 10GbE, hardware RAID, 3yr NBD</t>
        </is>
      </c>
      <c r="E23" s="4" t="inlineStr">
        <is>
          <t>raw_tb=60, bays=12, net=dual 10GbE</t>
        </is>
      </c>
      <c r="F23" s="4" t="inlineStr">
        <is>
          <t>nos</t>
        </is>
      </c>
      <c r="G23" s="4" t="n">
        <v>1</v>
      </c>
      <c r="H23" s="4" t="n">
        <v>2</v>
      </c>
      <c r="I23" s="4" t="inlineStr">
        <is>
          <t>8471</t>
        </is>
      </c>
      <c r="J23" s="4" t="n"/>
      <c r="K23" s="4">
        <f>IF(J23="","",H23*J23)</f>
        <v/>
      </c>
      <c r="L23" s="4" t="n"/>
      <c r="M23" s="4" t="n"/>
      <c r="N23" s="4" t="n"/>
      <c r="O23" s="4" t="n"/>
    </row>
    <row r="24">
      <c r="A24" s="4" t="n">
        <v>16</v>
      </c>
      <c r="B24" s="4" t="inlineStr">
        <is>
          <t>TAPE-LTO9</t>
        </is>
      </c>
      <c r="C24" s="4" t="inlineStr">
        <is>
          <t>Datacentre</t>
        </is>
      </c>
      <c r="D24" s="4" t="inlineStr">
        <is>
          <t>LTO-9 tape drive, external, SAS HBA included, 18TB native per cartridge</t>
        </is>
      </c>
      <c r="E24" s="4" t="inlineStr">
        <is>
          <t>gen=LTO-9, iface=external SAS</t>
        </is>
      </c>
      <c r="F24" s="4" t="inlineStr">
        <is>
          <t>nos</t>
        </is>
      </c>
      <c r="G24" s="4" t="n">
        <v>1</v>
      </c>
      <c r="H24" s="4" t="n">
        <v>2</v>
      </c>
      <c r="I24" s="4" t="inlineStr">
        <is>
          <t>8471</t>
        </is>
      </c>
      <c r="J24" s="4" t="n"/>
      <c r="K24" s="4">
        <f>IF(J24="","",H24*J24)</f>
        <v/>
      </c>
      <c r="L24" s="4" t="n"/>
      <c r="M24" s="4" t="n"/>
      <c r="N24" s="4" t="n"/>
      <c r="O24" s="4" t="n"/>
    </row>
    <row r="25">
      <c r="A25" s="4" t="n">
        <v>17</v>
      </c>
      <c r="B25" s="4" t="inlineStr">
        <is>
          <t>MED-LTO9</t>
        </is>
      </c>
      <c r="C25" s="4" t="inlineStr">
        <is>
          <t>Datacentre</t>
        </is>
      </c>
      <c r="D25" s="4" t="inlineStr">
        <is>
          <t>LTO-9 tape media, 18TB native, barcode-labelled, supplied as packs of 5 cartridges</t>
        </is>
      </c>
      <c r="E25" s="4" t="inlineStr">
        <is>
          <t>gen=LTO-9, pack=5 cartridges</t>
        </is>
      </c>
      <c r="F25" s="5" t="inlineStr">
        <is>
          <t>pack of 5</t>
        </is>
      </c>
      <c r="G25" s="5" t="n">
        <v>5</v>
      </c>
      <c r="H25" s="4" t="n">
        <v>12</v>
      </c>
      <c r="I25" s="4" t="inlineStr">
        <is>
          <t>8523</t>
        </is>
      </c>
      <c r="J25" s="4" t="n"/>
      <c r="K25" s="4">
        <f>IF(J25="","",H25*J25)</f>
        <v/>
      </c>
      <c r="L25" s="4" t="n"/>
      <c r="M25" s="4" t="n"/>
      <c r="N25" s="4" t="n"/>
      <c r="O25" s="4" t="n"/>
    </row>
    <row r="26">
      <c r="A26" s="4" t="n">
        <v>18</v>
      </c>
      <c r="B26" s="4" t="inlineStr">
        <is>
          <t>SW-48P</t>
        </is>
      </c>
      <c r="C26" s="4" t="inlineStr">
        <is>
          <t>Network &amp; Power</t>
        </is>
      </c>
      <c r="D26" s="4" t="inlineStr">
        <is>
          <t>Access switch, 48-port GbE PoE+ (740W budget), 4x 10G SFP+ uplinks, L2 managed, stackable, lifetime hardware warranty</t>
        </is>
      </c>
      <c r="E26" s="4" t="inlineStr">
        <is>
          <t>ports=48, poe_budget_w=740, uplinks=4x 10G SFP+, layer=L2</t>
        </is>
      </c>
      <c r="F26" s="4" t="inlineStr">
        <is>
          <t>nos</t>
        </is>
      </c>
      <c r="G26" s="4" t="n">
        <v>1</v>
      </c>
      <c r="H26" s="4" t="n">
        <v>14</v>
      </c>
      <c r="I26" s="4" t="inlineStr">
        <is>
          <t>8517</t>
        </is>
      </c>
      <c r="J26" s="4" t="n"/>
      <c r="K26" s="4">
        <f>IF(J26="","",H26*J26)</f>
        <v/>
      </c>
      <c r="L26" s="4" t="n"/>
      <c r="M26" s="4" t="n"/>
      <c r="N26" s="4" t="n"/>
      <c r="O26" s="4" t="n"/>
    </row>
    <row r="27">
      <c r="A27" s="4" t="n">
        <v>19</v>
      </c>
      <c r="B27" s="4" t="inlineStr">
        <is>
          <t>SW-24SFP</t>
        </is>
      </c>
      <c r="C27" s="4" t="inlineStr">
        <is>
          <t>Network &amp; Power</t>
        </is>
      </c>
      <c r="D27" s="4" t="inlineStr">
        <is>
          <t>Core switch, 24-port 10G SFP+, 2x 40G QSFP+ uplinks, L3 with OSPF/BGP, redundant PSU, 5yr warranty</t>
        </is>
      </c>
      <c r="E27" s="4" t="inlineStr">
        <is>
          <t>ports=24x 10G SFP+, uplinks=2x 40G QSFP+, layer=L3</t>
        </is>
      </c>
      <c r="F27" s="4" t="inlineStr">
        <is>
          <t>nos</t>
        </is>
      </c>
      <c r="G27" s="4" t="n">
        <v>1</v>
      </c>
      <c r="H27" s="4" t="n">
        <v>4</v>
      </c>
      <c r="I27" s="4" t="inlineStr">
        <is>
          <t>8517</t>
        </is>
      </c>
      <c r="J27" s="4" t="n"/>
      <c r="K27" s="4">
        <f>IF(J27="","",H27*J27)</f>
        <v/>
      </c>
      <c r="L27" s="4" t="n"/>
      <c r="M27" s="4" t="n"/>
      <c r="N27" s="4" t="n"/>
      <c r="O27" s="4" t="n"/>
    </row>
    <row r="28">
      <c r="A28" s="4" t="n">
        <v>20</v>
      </c>
      <c r="B28" s="4" t="inlineStr">
        <is>
          <t>SFP-10G</t>
        </is>
      </c>
      <c r="C28" s="4" t="inlineStr">
        <is>
          <t>Network &amp; Power</t>
        </is>
      </c>
      <c r="D28" s="4" t="inlineStr">
        <is>
          <t>Transceiver, 10GBASE-SR SFP+, 850nm multimode, OEM-coded to the quoted switch, supplied in boxes of 10</t>
        </is>
      </c>
      <c r="E28" s="4" t="inlineStr">
        <is>
          <t>type=10GBASE-SR, pack=box of 10</t>
        </is>
      </c>
      <c r="F28" s="5" t="inlineStr">
        <is>
          <t>box of 10</t>
        </is>
      </c>
      <c r="G28" s="5" t="n">
        <v>10</v>
      </c>
      <c r="H28" s="4" t="n">
        <v>6</v>
      </c>
      <c r="I28" s="4" t="inlineStr">
        <is>
          <t>8517</t>
        </is>
      </c>
      <c r="J28" s="4" t="n"/>
      <c r="K28" s="4">
        <f>IF(J28="","",H28*J28)</f>
        <v/>
      </c>
      <c r="L28" s="4" t="n"/>
      <c r="M28" s="4" t="n"/>
      <c r="N28" s="4" t="n"/>
      <c r="O28" s="4" t="n"/>
    </row>
    <row r="29">
      <c r="A29" s="4" t="n">
        <v>21</v>
      </c>
      <c r="B29" s="4" t="inlineStr">
        <is>
          <t>AP-WIFI6</t>
        </is>
      </c>
      <c r="C29" s="4" t="inlineStr">
        <is>
          <t>Network &amp; Power</t>
        </is>
      </c>
      <c r="D29" s="4" t="inlineStr">
        <is>
          <t>Wireless access point, Wi-Fi 6 (802.11ax), dual radio 2x2, indoor, PoE+ powered, incl. 3yr cloud management licence</t>
        </is>
      </c>
      <c r="E29" s="4" t="inlineStr">
        <is>
          <t>std=802.11ax, radios=dual 2x2, licence=3yr cloud mgmt</t>
        </is>
      </c>
      <c r="F29" s="4" t="inlineStr">
        <is>
          <t>nos</t>
        </is>
      </c>
      <c r="G29" s="4" t="n">
        <v>1</v>
      </c>
      <c r="H29" s="4" t="n">
        <v>55</v>
      </c>
      <c r="I29" s="4" t="inlineStr">
        <is>
          <t>8517</t>
        </is>
      </c>
      <c r="J29" s="4" t="n"/>
      <c r="K29" s="4">
        <f>IF(J29="","",H29*J29)</f>
        <v/>
      </c>
      <c r="L29" s="4" t="n"/>
      <c r="M29" s="4" t="n"/>
      <c r="N29" s="4" t="n"/>
      <c r="O29" s="4" t="n"/>
    </row>
    <row r="30">
      <c r="A30" s="4" t="n">
        <v>22</v>
      </c>
      <c r="B30" s="4" t="inlineStr">
        <is>
          <t>PC-CAT6A</t>
        </is>
      </c>
      <c r="C30" s="4" t="inlineStr">
        <is>
          <t>Network &amp; Power</t>
        </is>
      </c>
      <c r="D30" s="4" t="inlineStr">
        <is>
          <t>Patch cord, Cat6A, 2m, LSZH jacket, factory-terminated and tested, supplied in boxes of 50</t>
        </is>
      </c>
      <c r="E30" s="4" t="inlineStr">
        <is>
          <t>cat=6A, length=2m, jacket=LSZH, pack=box of 50</t>
        </is>
      </c>
      <c r="F30" s="5" t="inlineStr">
        <is>
          <t>box of 50</t>
        </is>
      </c>
      <c r="G30" s="5" t="n">
        <v>50</v>
      </c>
      <c r="H30" s="4" t="n">
        <v>14</v>
      </c>
      <c r="I30" s="4" t="inlineStr">
        <is>
          <t>8544</t>
        </is>
      </c>
      <c r="J30" s="4" t="n"/>
      <c r="K30" s="4">
        <f>IF(J30="","",H30*J30)</f>
        <v/>
      </c>
      <c r="L30" s="4" t="n"/>
      <c r="M30" s="4" t="n"/>
      <c r="N30" s="4" t="n"/>
      <c r="O30" s="4" t="n"/>
    </row>
    <row r="31">
      <c r="A31" s="4" t="n">
        <v>23</v>
      </c>
      <c r="B31" s="4" t="inlineStr">
        <is>
          <t>RACK-42U</t>
        </is>
      </c>
      <c r="C31" s="4" t="inlineStr">
        <is>
          <t>Network &amp; Power</t>
        </is>
      </c>
      <c r="D31" s="4" t="inlineStr">
        <is>
          <t>Server rack, 42U, 800mm deep, perforated front/rear doors, incl. pair of 32A vertical PDUs</t>
        </is>
      </c>
      <c r="E31" s="4" t="inlineStr">
        <is>
          <t>height=42U, depth=800mm, pdu=2x 32A vertical</t>
        </is>
      </c>
      <c r="F31" s="4" t="inlineStr">
        <is>
          <t>nos</t>
        </is>
      </c>
      <c r="G31" s="4" t="n">
        <v>1</v>
      </c>
      <c r="H31" s="4" t="n">
        <v>3</v>
      </c>
      <c r="I31" s="4" t="inlineStr">
        <is>
          <t>9403</t>
        </is>
      </c>
      <c r="J31" s="4" t="n"/>
      <c r="K31" s="4">
        <f>IF(J31="","",H31*J31)</f>
        <v/>
      </c>
      <c r="L31" s="4" t="n"/>
      <c r="M31" s="4" t="n"/>
      <c r="N31" s="4" t="n"/>
      <c r="O31" s="4" t="n"/>
    </row>
    <row r="32">
      <c r="A32" s="4" t="n">
        <v>24</v>
      </c>
      <c r="B32" s="4" t="inlineStr">
        <is>
          <t>UPS-10K</t>
        </is>
      </c>
      <c r="C32" s="4" t="inlineStr">
        <is>
          <t>Network &amp; Power</t>
        </is>
      </c>
      <c r="D32" s="4" t="inlineStr">
        <is>
          <t>Online UPS, 10kVA, 3-phase in / 1-phase out, incl. battery bank for 30 min at full load, SNMP card</t>
        </is>
      </c>
      <c r="E32" s="4" t="inlineStr">
        <is>
          <t>kva=10, topology=online double conversion, backup=30 min @ full load</t>
        </is>
      </c>
      <c r="F32" s="4" t="inlineStr">
        <is>
          <t>nos</t>
        </is>
      </c>
      <c r="G32" s="4" t="n">
        <v>1</v>
      </c>
      <c r="H32" s="4" t="n">
        <v>3</v>
      </c>
      <c r="I32" s="4" t="inlineStr">
        <is>
          <t>8504</t>
        </is>
      </c>
      <c r="J32" s="4" t="n"/>
      <c r="K32" s="4">
        <f>IF(J32="","",H32*J32)</f>
        <v/>
      </c>
      <c r="L32" s="4" t="n"/>
      <c r="M32" s="4" t="n"/>
      <c r="N32" s="4" t="n"/>
      <c r="O32" s="4" t="n"/>
    </row>
    <row r="33">
      <c r="A33" s="4" t="n">
        <v>25</v>
      </c>
      <c r="B33" s="4" t="inlineStr">
        <is>
          <t>UPS-3K</t>
        </is>
      </c>
      <c r="C33" s="4" t="inlineStr">
        <is>
          <t>Network &amp; Power</t>
        </is>
      </c>
      <c r="D33" s="4" t="inlineStr">
        <is>
          <t>Rack-mount online UPS, 3kVA, 2U, incl. battery for 15 min at full load, network management card</t>
        </is>
      </c>
      <c r="E33" s="4" t="inlineStr">
        <is>
          <t>kva=3, form=2U rackmount, backup=15 min @ full load</t>
        </is>
      </c>
      <c r="F33" s="4" t="inlineStr">
        <is>
          <t>nos</t>
        </is>
      </c>
      <c r="G33" s="4" t="n">
        <v>1</v>
      </c>
      <c r="H33" s="4" t="n">
        <v>8</v>
      </c>
      <c r="I33" s="4" t="inlineStr">
        <is>
          <t>8504</t>
        </is>
      </c>
      <c r="J33" s="4" t="n"/>
      <c r="K33" s="4">
        <f>IF(J33="","",H33*J33)</f>
        <v/>
      </c>
      <c r="L33" s="4" t="n"/>
      <c r="M33" s="4" t="n"/>
      <c r="N33" s="4" t="n"/>
      <c r="O33" s="4" t="n"/>
    </row>
    <row r="34">
      <c r="A34" s="4" t="n">
        <v>26</v>
      </c>
      <c r="B34" s="4" t="inlineStr">
        <is>
          <t>MFP-A3</t>
        </is>
      </c>
      <c r="C34" s="4" t="inlineStr">
        <is>
          <t>Retail &amp; Peripherals</t>
        </is>
      </c>
      <c r="D34" s="4" t="inlineStr">
        <is>
          <t>Multifunction printer, A3 mono laser, network, auto-duplex, 50ppm, ADF, incl. 3yr onsite AMC</t>
        </is>
      </c>
      <c r="E34" s="4" t="inlineStr">
        <is>
          <t>format=A3 mono laser, ppm=50, amc=3yr onsite</t>
        </is>
      </c>
      <c r="F34" s="4" t="inlineStr">
        <is>
          <t>nos</t>
        </is>
      </c>
      <c r="G34" s="4" t="n">
        <v>1</v>
      </c>
      <c r="H34" s="4" t="n">
        <v>8</v>
      </c>
      <c r="I34" s="4" t="inlineStr">
        <is>
          <t>8443</t>
        </is>
      </c>
      <c r="J34" s="4" t="n"/>
      <c r="K34" s="4">
        <f>IF(J34="","",H34*J34)</f>
        <v/>
      </c>
      <c r="L34" s="4" t="n"/>
      <c r="M34" s="4" t="n"/>
      <c r="N34" s="4" t="n"/>
      <c r="O34" s="4" t="n"/>
    </row>
    <row r="35">
      <c r="A35" s="4" t="n">
        <v>27</v>
      </c>
      <c r="B35" s="4" t="inlineStr">
        <is>
          <t>SCAN-2D</t>
        </is>
      </c>
      <c r="C35" s="4" t="inlineStr">
        <is>
          <t>Retail &amp; Peripherals</t>
        </is>
      </c>
      <c r="D35" s="4" t="inlineStr">
        <is>
          <t>Barcode scanner, 2D imager, wireless (Bluetooth), incl. charging cradle, for DC use</t>
        </is>
      </c>
      <c r="E35" s="4" t="inlineStr">
        <is>
          <t>type=2D imager, link=Bluetooth, cradle=True</t>
        </is>
      </c>
      <c r="F35" s="4" t="inlineStr">
        <is>
          <t>nos</t>
        </is>
      </c>
      <c r="G35" s="4" t="n">
        <v>1</v>
      </c>
      <c r="H35" s="4" t="n">
        <v>90</v>
      </c>
      <c r="I35" s="4" t="inlineStr">
        <is>
          <t>8471</t>
        </is>
      </c>
      <c r="J35" s="4" t="n"/>
      <c r="K35" s="4">
        <f>IF(J35="","",H35*J35)</f>
        <v/>
      </c>
      <c r="L35" s="4" t="n"/>
      <c r="M35" s="4" t="n"/>
      <c r="N35" s="4" t="n"/>
      <c r="O35" s="4" t="n"/>
    </row>
    <row r="36">
      <c r="A36" s="4" t="n">
        <v>28</v>
      </c>
      <c r="B36" s="4" t="inlineStr">
        <is>
          <t>HHT-AND</t>
        </is>
      </c>
      <c r="C36" s="4" t="inlineStr">
        <is>
          <t>Retail &amp; Peripherals</t>
        </is>
      </c>
      <c r="D36" s="4" t="inlineStr">
        <is>
          <t>Rugged handheld terminal, Android 13, 2D scanner, 4GB/64GB, hot-swap battery, IP65, 3yr comprehensive cover</t>
        </is>
      </c>
      <c r="E36" s="4" t="inlineStr">
        <is>
          <t>os=Android 13, rating=IP65, warranty=3yr comprehensive</t>
        </is>
      </c>
      <c r="F36" s="4" t="inlineStr">
        <is>
          <t>nos</t>
        </is>
      </c>
      <c r="G36" s="4" t="n">
        <v>1</v>
      </c>
      <c r="H36" s="4" t="n">
        <v>25</v>
      </c>
      <c r="I36" s="4" t="inlineStr">
        <is>
          <t>8471</t>
        </is>
      </c>
      <c r="J36" s="4" t="n"/>
      <c r="K36" s="4">
        <f>IF(J36="","",H36*J36)</f>
        <v/>
      </c>
      <c r="L36" s="4" t="n"/>
      <c r="M36" s="4" t="n"/>
      <c r="N36" s="4" t="n"/>
      <c r="O36" s="4" t="n"/>
    </row>
    <row r="37">
      <c r="A37" s="4" t="n">
        <v>29</v>
      </c>
      <c r="B37" s="4" t="inlineStr">
        <is>
          <t>DSP-55</t>
        </is>
      </c>
      <c r="C37" s="4" t="inlineStr">
        <is>
          <t>Retail &amp; Peripherals</t>
        </is>
      </c>
      <c r="D37" s="4" t="inlineStr">
        <is>
          <t>Digital signage display, 55in FHD, 24x7 rated, 500 nits, incl. tilt wall mount, 3yr onsite</t>
        </is>
      </c>
      <c r="E37" s="4" t="inlineStr">
        <is>
          <t>size=55in, duty=24x7, brightness=500 nits</t>
        </is>
      </c>
      <c r="F37" s="4" t="inlineStr">
        <is>
          <t>nos</t>
        </is>
      </c>
      <c r="G37" s="4" t="n">
        <v>1</v>
      </c>
      <c r="H37" s="4" t="n">
        <v>18</v>
      </c>
      <c r="I37" s="4" t="inlineStr">
        <is>
          <t>8528</t>
        </is>
      </c>
      <c r="J37" s="4" t="n"/>
      <c r="K37" s="4">
        <f>IF(J37="","",H37*J37)</f>
        <v/>
      </c>
      <c r="L37" s="4" t="n"/>
      <c r="M37" s="4" t="n"/>
      <c r="N37" s="4" t="n"/>
      <c r="O37" s="4" t="n"/>
    </row>
    <row r="38">
      <c r="A38" s="4" t="n">
        <v>30</v>
      </c>
      <c r="B38" s="4" t="inlineStr">
        <is>
          <t>WTY-EXT</t>
        </is>
      </c>
      <c r="C38" s="4" t="inlineStr">
        <is>
          <t>Retail &amp; Peripherals</t>
        </is>
      </c>
      <c r="D38" s="4" t="inlineStr">
        <is>
          <t>Warranty uplift for laptop lines 1-3: years 4 and 5, onsite next-business-day, per unit</t>
        </is>
      </c>
      <c r="E38" s="4" t="inlineStr">
        <is>
          <t>scope=lines 1-3, years=4-5, sla=onsite NBD</t>
        </is>
      </c>
      <c r="F38" s="4" t="inlineStr">
        <is>
          <t>nos</t>
        </is>
      </c>
      <c r="G38" s="4" t="n">
        <v>1</v>
      </c>
      <c r="H38" s="4" t="n">
        <v>170</v>
      </c>
      <c r="I38" s="4" t="inlineStr">
        <is>
          <t>9983</t>
        </is>
      </c>
      <c r="J38" s="4" t="n"/>
      <c r="K38" s="4">
        <f>IF(J38="","",H38*J38)</f>
        <v/>
      </c>
      <c r="L38" s="4" t="n"/>
      <c r="M38" s="4" t="n"/>
      <c r="N38" s="4" t="n"/>
      <c r="O38" s="4" t="n"/>
    </row>
    <row r="39">
      <c r="I39" s="6" t="inlineStr">
        <is>
          <t>TOTAL (ex-GST)</t>
        </is>
      </c>
      <c r="K39" s="6">
        <f>SUM(K9:K38)</f>
        <v/>
      </c>
    </row>
    <row r="41">
      <c r="A41" s="6" t="inlineStr">
        <is>
          <t>Vendor name:</t>
        </is>
      </c>
    </row>
    <row r="42">
      <c r="A42" s="6" t="inlineStr">
        <is>
          <t>Signed by / date:</t>
        </is>
      </c>
    </row>
    <row r="43">
      <c r="A43" s="6" t="inlineStr">
        <is>
          <t>Bid validity offered: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7" t="inlineStr">
        <is>
          <t>Four things that cause most of the rework</t>
        </is>
      </c>
    </row>
    <row r="3" ht="44" customHeight="1">
      <c r="A3" s="8" t="inlineStr">
        <is>
          <t>1. Unit of measure. Line 13 is one KIT of 2x 16GB DIMMs, not one DIMM. Line 17 is one PACK of 5 cartridges. Line 20 is one BOX of 10 transceivers. Line 22 is one BOX of 50 patch cords. Quote per that unit.</t>
        </is>
      </c>
    </row>
    <row r="5" ht="44" customHeight="1">
      <c r="A5" s="8" t="inlineStr">
        <is>
          <t>2. Warranty. Where a line description states a warranty term, price it inclusive of that term. Do not quote a shorter term and add an uplift on a separate line.</t>
        </is>
      </c>
    </row>
    <row r="7" ht="44" customHeight="1">
      <c r="A7" s="8" t="inlineStr">
        <is>
          <t>3. Equivalents. Permitted, but state the offered make and model in the 'Make / model offered' column. An unstated substitution is treated as non-compliant.</t>
        </is>
      </c>
    </row>
    <row r="9" ht="44" customHeight="1">
      <c r="A9" s="8" t="inlineStr">
        <is>
          <t>4. Conditional discounts. Any discount that depends on an approval, an order date or a competitor's price must be labelled as conditional. Conditional discounts are recorded but are not used in ranking.</t>
        </is>
      </c>
    </row>
  </sheetData>
  <mergeCells count="4">
    <mergeCell ref="A7:H7"/>
    <mergeCell ref="A3:H3"/>
    <mergeCell ref="A9:H9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2026-09-10T05:54:47Z</dcterms:created>
  <dcterms:modified xmlns:dcterms="http://purl.org/dc/terms/" xmlns:xsi="http://www.w3.org/2001/XMLSchema-instance" xsi:type="dcterms:W3CDTF">2026-09-10T05:54:47Z</dcterms:modified>
</cp:coreProperties>
</file>